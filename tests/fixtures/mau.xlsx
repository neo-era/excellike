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ự toán" sheetId="1" state="visible" r:id="rId1"/>
    <sheet xmlns:r="http://schemas.openxmlformats.org/officeDocument/2006/relationships" name="2024" sheetId="2" state="visible" r:id="rId2"/>
    <sheet xmlns:r="http://schemas.openxmlformats.org/officeDocument/2006/relationships" name="Q1" sheetId="3" state="visible" r:id="rId3"/>
  </sheets>
  <definedNames>
    <definedName name="_xlnm._FilterDatabase" localSheetId="0" hidden="1">'Dự toán'!$A$1:$G$4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FFC00000"/>
    </font>
    <font>
      <i val="1"/>
      <u val="single"/>
    </font>
  </fonts>
  <fills count="3">
    <fill>
      <patternFill/>
    </fill>
    <fill>
      <patternFill patternType="gray125"/>
    </fill>
    <fill>
      <patternFill patternType="solid">
        <fgColor rgb="FFDCEFE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2" max="2"/>
  </cols>
  <sheetData>
    <row r="1" ht="30" customHeight="1">
      <c r="A1" s="1" t="inlineStr">
        <is>
          <t>STT</t>
        </is>
      </c>
      <c r="B1" s="2" t="inlineStr">
        <is>
          <t>Hạng mục</t>
        </is>
      </c>
      <c r="C1" t="inlineStr">
        <is>
          <t>ĐVT</t>
        </is>
      </c>
      <c r="D1" t="inlineStr">
        <is>
          <t>Khối lượng</t>
        </is>
      </c>
      <c r="E1" t="inlineStr">
        <is>
          <t>Đơn giá</t>
        </is>
      </c>
      <c r="F1" t="inlineStr">
        <is>
          <t>Thành tiền</t>
        </is>
      </c>
      <c r="G1" t="inlineStr">
        <is>
          <t>Ngày</t>
        </is>
      </c>
    </row>
    <row r="2">
      <c r="A2" t="n">
        <v>1</v>
      </c>
      <c r="B2" s="3" t="inlineStr">
        <is>
          <t>Đèn LED 120W</t>
        </is>
      </c>
      <c r="C2" s="4" t="inlineStr">
        <is>
          <t>bộ</t>
        </is>
      </c>
      <c r="D2" t="n">
        <v>48</v>
      </c>
      <c r="E2" s="5" t="n">
        <v>4250000</v>
      </c>
      <c r="F2" s="5">
        <f>D2*E2</f>
        <v/>
      </c>
      <c r="G2" s="6" t="n">
        <v>46055</v>
      </c>
      <c r="H2">
        <f>IF(F2&gt;200000000,"lớn","nhỏ")</f>
        <v/>
      </c>
    </row>
    <row r="3">
      <c r="A3" t="n">
        <v>2</v>
      </c>
      <c r="B3" t="inlineStr">
        <is>
          <t>Cột thép 10m</t>
        </is>
      </c>
      <c r="C3" t="inlineStr">
        <is>
          <t>cột</t>
        </is>
      </c>
      <c r="D3" t="n">
        <v>48</v>
      </c>
      <c r="E3" t="n">
        <v>6800000</v>
      </c>
      <c r="F3">
        <f>D3*E3</f>
        <v/>
      </c>
      <c r="G3" s="7" t="n">
        <v>46056</v>
      </c>
      <c r="H3">
        <f>ROUND(1.2345,2)</f>
        <v/>
      </c>
    </row>
    <row r="4">
      <c r="A4" t="n">
        <v>3</v>
      </c>
      <c r="B4" t="inlineStr">
        <is>
          <t>Cáp ngầm 4x16</t>
        </is>
      </c>
      <c r="C4" t="inlineStr">
        <is>
          <t>m</t>
        </is>
      </c>
      <c r="D4" t="n">
        <v>1260</v>
      </c>
      <c r="E4" t="n">
        <v>118000</v>
      </c>
      <c r="F4">
        <f>D4*E4</f>
        <v/>
      </c>
      <c r="G4" s="7" t="n">
        <v>46057</v>
      </c>
      <c r="H4">
        <f>VLOOKUP("Cột thép 10m",B2:E4,4,FALSE)</f>
        <v/>
      </c>
    </row>
    <row r="5">
      <c r="B5" t="inlineStr">
        <is>
          <t>Tổng cộng</t>
        </is>
      </c>
      <c r="F5">
        <f>SUM(F2:F4)</f>
        <v/>
      </c>
    </row>
    <row r="7">
      <c r="B7" t="inlineStr">
        <is>
          <t>Gộp ô</t>
        </is>
      </c>
    </row>
  </sheetData>
  <autoFilter ref="A1:G4"/>
  <mergeCells count="1">
    <mergeCell ref="B7:D7"/>
  </mergeCells>
  <conditionalFormatting sqref="D2:D4">
    <cfRule type="cellIs" priority="1" operator="greaterThan" dxfId="0">
      <formula>100</formula>
    </cfRule>
  </conditionalFormatting>
  <conditionalFormatting sqref="E2:E4">
    <cfRule type="colorScale" priority="2">
      <colorScale>
        <cfvo type="min"/>
        <cfvo type="max"/>
        <color rgb="FFF8696B"/>
        <color rgb="FF63BE7B"/>
      </colorScale>
    </cfRule>
  </conditionalFormatting>
  <dataValidations count="2">
    <dataValidation sqref="C2:C10" showDropDown="0" showInputMessage="0" showErrorMessage="0" allowBlank="1" type="list">
      <formula1>"bộ,cột,m"</formula1>
    </dataValidation>
    <dataValidation sqref="D2:D10" showDropDown="0" showInputMessage="0" showErrorMessage="0" allowBlank="0" type="whole" operator="between">
      <formula1>0</formula1>
      <formula2>1000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  <row r="2">
      <c r="A2">
        <f>'Dự toán'!F5/2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'2024'!A1*2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2026-10-28T12:17:03Z</dcterms:created>
  <dcterms:modified xmlns:dcterms="http://purl.org/dc/terms/" xmlns:xsi="http://www.w3.org/2001/XMLSchema-instance" xsi:type="dcterms:W3CDTF">2026-10-28T12:17:03Z</dcterms:modified>
</cp:coreProperties>
</file>